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RCB\Beams\CB1\MomentSpring\"/>
    </mc:Choice>
  </mc:AlternateContent>
  <xr:revisionPtr revIDLastSave="0" documentId="13_ncr:1_{7062F4D4-24A2-4023-947A-74058440CD08}" xr6:coauthVersionLast="47" xr6:coauthVersionMax="47" xr10:uidLastSave="{00000000-0000-0000-0000-000000000000}"/>
  <bookViews>
    <workbookView xWindow="-120" yWindow="-120" windowWidth="29040" windowHeight="15720" xr2:uid="{FA546749-7F16-4E0C-8EBD-89D50A16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/>
  <c r="E44" i="1" s="1"/>
  <c r="C47" i="1" s="1"/>
  <c r="C26" i="1" l="1"/>
  <c r="C27" i="1"/>
  <c r="C28" i="1"/>
  <c r="C29" i="1"/>
  <c r="C18" i="1"/>
  <c r="C19" i="1" s="1"/>
  <c r="C20" i="1" s="1"/>
  <c r="C9" i="1"/>
  <c r="C11" i="1" s="1"/>
  <c r="C10" i="1" l="1"/>
  <c r="C41" i="1"/>
  <c r="C50" i="1" s="1"/>
  <c r="D54" i="1" s="1"/>
  <c r="C17" i="1"/>
  <c r="C42" i="1" l="1"/>
  <c r="C43" i="1" s="1"/>
  <c r="C16" i="1"/>
  <c r="C38" i="1"/>
  <c r="C33" i="1"/>
  <c r="C34" i="1" l="1"/>
  <c r="C39" i="1"/>
  <c r="C37" i="1"/>
  <c r="C36" i="1"/>
  <c r="C35" i="1"/>
  <c r="D55" i="1" l="1"/>
  <c r="D56" i="1"/>
</calcChain>
</file>

<file path=xl/sharedStrings.xml><?xml version="1.0" encoding="utf-8"?>
<sst xmlns="http://schemas.openxmlformats.org/spreadsheetml/2006/main" count="73" uniqueCount="69">
  <si>
    <t>Diagonally Reinforced Coupling Beam design (ACI 318-19)</t>
  </si>
  <si>
    <r>
      <t>V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Calibri"/>
        <family val="2"/>
      </rPr>
      <t xml:space="preserve"> (kips)</t>
    </r>
  </si>
  <si>
    <t>Materials</t>
  </si>
  <si>
    <r>
      <t>f'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</si>
  <si>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Calibri"/>
        <family val="2"/>
      </rPr>
      <t xml:space="preserve"> (ksi)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</si>
  <si>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</si>
  <si>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</si>
  <si>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t>n</t>
  </si>
  <si>
    <t>Geometry</t>
  </si>
  <si>
    <t>h (in)</t>
  </si>
  <si>
    <t>Height</t>
  </si>
  <si>
    <t>l (in)</t>
  </si>
  <si>
    <t>Length</t>
  </si>
  <si>
    <r>
      <t>b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(in)</t>
    </r>
  </si>
  <si>
    <t>Base</t>
  </si>
  <si>
    <t>χ</t>
  </si>
  <si>
    <t>Shear coefficient</t>
  </si>
  <si>
    <t>l/h</t>
  </si>
  <si>
    <t>Aspect ratio</t>
  </si>
  <si>
    <r>
      <t>A</t>
    </r>
    <r>
      <rPr>
        <vertAlign val="subscript"/>
        <sz val="11"/>
        <color theme="1"/>
        <rFont val="Aptos Narrow"/>
        <family val="2"/>
        <scheme val="minor"/>
      </rPr>
      <t>cw</t>
    </r>
    <r>
      <rPr>
        <sz val="11"/>
        <color theme="1"/>
        <rFont val="Calibri"/>
        <family val="2"/>
      </rPr>
      <t xml:space="preserve">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Calibri"/>
        <family val="2"/>
      </rPr>
      <t>)</t>
    </r>
  </si>
  <si>
    <t>Area</t>
  </si>
  <si>
    <t>V limit</t>
  </si>
  <si>
    <t>Limit shear force (kips)</t>
  </si>
  <si>
    <t>Condition</t>
  </si>
  <si>
    <t>Diagonal Reinforcement</t>
  </si>
  <si>
    <t>α (°)</t>
  </si>
  <si>
    <t>Angle between the diagonal bars and the longitudinal axis of the beam</t>
  </si>
  <si>
    <t>φ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</si>
  <si>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vd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</si>
  <si>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Total flexural reinforcement (per diagonal)</t>
  </si>
  <si>
    <r>
      <t>ρ</t>
    </r>
    <r>
      <rPr>
        <b/>
        <i/>
        <vertAlign val="subscript"/>
        <sz val="11"/>
        <color theme="1"/>
        <rFont val="Aptos Narrow"/>
        <family val="2"/>
        <scheme val="minor"/>
      </rPr>
      <t>l</t>
    </r>
  </si>
  <si>
    <t>Reinforcement ratio</t>
  </si>
  <si>
    <t>λ</t>
  </si>
  <si>
    <r>
      <t>l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Calibri"/>
        <family val="2"/>
      </rPr>
      <t xml:space="preserve"> (in)</t>
    </r>
  </si>
  <si>
    <t>Diagonal length within CB</t>
  </si>
  <si>
    <r>
      <t>V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Calibri"/>
        <family val="2"/>
      </rPr>
      <t xml:space="preserve"> (kips)</t>
    </r>
  </si>
  <si>
    <t>Shear capacity (no phi factor applied)</t>
  </si>
  <si>
    <t>Equivalent truss model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</si>
  <si>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</si>
  <si>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</si>
  <si>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c,eq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</si>
  <si>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 considering strut inclination</t>
  </si>
  <si>
    <r>
      <t>f'</t>
    </r>
    <r>
      <rPr>
        <b/>
        <i/>
        <vertAlign val="subscript"/>
        <sz val="11"/>
        <color theme="1"/>
        <rFont val="Aptos Narrow"/>
        <family val="2"/>
        <scheme val="minor"/>
      </rPr>
      <t>cr</t>
    </r>
    <r>
      <rPr>
        <b/>
        <i/>
        <sz val="11"/>
        <color theme="1"/>
        <rFont val="Aptos Narrow"/>
        <family val="2"/>
        <scheme val="minor"/>
      </rPr>
      <t xml:space="preserve"> (psi)</t>
    </r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</si>
  <si>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ts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</si>
  <si>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Transformed section properties</t>
  </si>
  <si>
    <t>Adjusted tensile strength</t>
  </si>
  <si>
    <t>Xi</t>
  </si>
  <si>
    <t>fact*Ag</t>
  </si>
  <si>
    <t>Adjusted area/gross area</t>
  </si>
  <si>
    <r>
      <t>γ</t>
    </r>
    <r>
      <rPr>
        <i/>
        <vertAlign val="subscript"/>
        <sz val="11"/>
        <color theme="1"/>
        <rFont val="Calibri"/>
        <family val="2"/>
      </rPr>
      <t>s</t>
    </r>
  </si>
  <si>
    <t>k</t>
  </si>
  <si>
    <r>
      <t>γ</t>
    </r>
    <r>
      <rPr>
        <i/>
        <vertAlign val="subscript"/>
        <sz val="11"/>
        <color theme="1"/>
        <rFont val="Calibri"/>
        <family val="2"/>
      </rPr>
      <t>c</t>
    </r>
  </si>
  <si>
    <t>Ke</t>
  </si>
  <si>
    <t>ζ</t>
  </si>
  <si>
    <t>LATBSDC</t>
  </si>
  <si>
    <r>
      <t>E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</si>
  <si>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ye</t>
    </r>
    <r>
      <rPr>
        <sz val="11"/>
        <color theme="1"/>
        <rFont val="Calibri"/>
        <family val="2"/>
      </rPr>
      <t xml:space="preserve"> (ksi)</t>
    </r>
  </si>
  <si>
    <t>b</t>
  </si>
  <si>
    <t>Hardening ratio</t>
  </si>
  <si>
    <t>A</t>
  </si>
  <si>
    <t>B</t>
  </si>
  <si>
    <t>C</t>
  </si>
  <si>
    <t>E</t>
  </si>
  <si>
    <t>Spring moment</t>
  </si>
  <si>
    <r>
      <t>f</t>
    </r>
    <r>
      <rPr>
        <vertAlign val="subscript"/>
        <sz val="11"/>
        <color theme="1"/>
        <rFont val="Aptos Narrow"/>
        <family val="2"/>
        <scheme val="minor"/>
      </rPr>
      <t>ys</t>
    </r>
    <r>
      <rPr>
        <sz val="11"/>
        <color theme="1"/>
        <rFont val="Calibri"/>
        <family val="2"/>
      </rPr>
      <t xml:space="preserve"> (kips-in)</t>
    </r>
  </si>
  <si>
    <t>d (rad)</t>
  </si>
  <si>
    <t>F (k-in)</t>
  </si>
  <si>
    <t>k-in/rad</t>
  </si>
  <si>
    <t>Equivalent moment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</si>
</sst>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3" borderId="1" xfId="0" applyFill="1" applyBorder="1"/>
    <xf numFmtId="2" fontId="0" fillId="0" borderId="1" xfId="0" applyNumberFormat="1" applyBorder="1"/>
    <xf numFmtId="0" fontId="5" fillId="0" borderId="0" xfId="0" applyFont="1"/>
    <xf numFmtId="2" fontId="0" fillId="3" borderId="1" xfId="0" applyNumberFormat="1" applyFill="1" applyBorder="1"/>
    <xf numFmtId="0" fontId="6" fillId="0" borderId="0" xfId="0" applyFont="1"/>
    <xf numFmtId="0" fontId="1" fillId="3" borderId="1" xfId="0" applyFont="1" applyFill="1" applyBorder="1"/>
    <xf numFmtId="0" fontId="2" fillId="2" borderId="1" xfId="2" applyBorder="1"/>
    <xf numFmtId="0" fontId="0" fillId="0" borderId="1" xfId="0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0" fontId="3" fillId="3" borderId="1" xfId="1" applyNumberFormat="1" applyFont="1" applyFill="1" applyBorder="1"/>
    <xf numFmtId="0" fontId="1" fillId="0" borderId="0" xfId="0" applyFont="1"/>
    <xf numFmtId="164" fontId="3" fillId="3" borderId="1" xfId="0" applyNumberFormat="1" applyFont="1" applyFill="1" applyBorder="1"/>
    <xf numFmtId="2" fontId="0" fillId="0" borderId="0" xfId="0" applyNumberFormat="1"/>
    <xf numFmtId="164" fontId="0" fillId="0" borderId="1" xfId="0" applyNumberFormat="1" applyBorder="1"/>
  </cellXfs>
  <cellStyles count="3">
    <cellStyle name="Good" xfId="2" builtinId="26"/>
    <cellStyle name="Normal" xfId="0" builtinId="0"/>
    <cellStyle name="Percent" xfId="1" builtinId="5"/>
  </cellStyles>
  <dxfs count="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93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945-B8EE-495E-AAE1-20215FF055EE}">
  <dimension ref="B1:G56"/>
  <sheetViews>
    <sheetView tabSelected="1" topLeftCell="A28" workbookViewId="0">
      <selection activeCell="R40" sqref="R40"/>
    </sheetView>
  </sheetViews>
  <sheetFormatPr defaultRowHeight="15" x14ac:dyDescent="0.25"/>
  <cols>
    <col min="1" max="1" width="2.85546875" customWidth="1"/>
    <col min="2" max="2" width="10.7109375" customWidth="1"/>
    <col min="3" max="3" width="9.5703125" bestFit="1" customWidth="1"/>
    <col min="5" max="5" width="12.5703125" customWidth="1"/>
  </cols>
  <sheetData>
    <row r="1" spans="2:4" x14ac:dyDescent="0.25">
      <c r="B1" s="1" t="s">
        <v>0</v>
      </c>
    </row>
    <row r="4" spans="2:4" ht="18" x14ac:dyDescent="0.35">
      <c r="B4" s="2" t="s">
        <v>1</v>
      </c>
      <c r="C4" s="3"/>
    </row>
    <row r="6" spans="2:4" x14ac:dyDescent="0.25">
      <c r="B6" s="4" t="s">
        <v>2</v>
      </c>
    </row>
    <row r="7" spans="2:4" ht="18" x14ac:dyDescent="0.35">
      <c r="B7" s="2" t="s">
        <v>3</v>
      </c>
      <c r="C7" s="3">
        <v>5.99</v>
      </c>
    </row>
    <row r="8" spans="2:4" ht="18" x14ac:dyDescent="0.35">
      <c r="B8" s="2" t="s">
        <v>4</v>
      </c>
      <c r="C8" s="3">
        <v>63</v>
      </c>
    </row>
    <row r="9" spans="2:4" ht="18" x14ac:dyDescent="0.35">
      <c r="B9" s="2" t="s">
        <v>5</v>
      </c>
      <c r="C9" s="2">
        <f>33000*(0.14+C7/1000)^1.5*SQRT(C7)</f>
        <v>4505.1786146925288</v>
      </c>
    </row>
    <row r="10" spans="2:4" ht="18" x14ac:dyDescent="0.35">
      <c r="B10" s="2" t="s">
        <v>6</v>
      </c>
      <c r="C10" s="2">
        <f>C9/(2*1.2)</f>
        <v>1877.1577561218871</v>
      </c>
    </row>
    <row r="11" spans="2:4" x14ac:dyDescent="0.25">
      <c r="B11" s="5" t="s">
        <v>7</v>
      </c>
      <c r="C11" s="5">
        <f>29000/C9</f>
        <v>6.437036681614277</v>
      </c>
    </row>
    <row r="12" spans="2:4" x14ac:dyDescent="0.25">
      <c r="B12" s="4" t="s">
        <v>8</v>
      </c>
    </row>
    <row r="13" spans="2:4" x14ac:dyDescent="0.25">
      <c r="B13" s="2" t="s">
        <v>9</v>
      </c>
      <c r="C13" s="3">
        <v>18</v>
      </c>
      <c r="D13" s="6" t="s">
        <v>10</v>
      </c>
    </row>
    <row r="14" spans="2:4" x14ac:dyDescent="0.25">
      <c r="B14" s="2" t="s">
        <v>11</v>
      </c>
      <c r="C14" s="3">
        <v>34</v>
      </c>
      <c r="D14" s="6" t="s">
        <v>12</v>
      </c>
    </row>
    <row r="15" spans="2:4" ht="18" x14ac:dyDescent="0.35">
      <c r="B15" s="2" t="s">
        <v>13</v>
      </c>
      <c r="C15" s="3">
        <v>10</v>
      </c>
      <c r="D15" s="6" t="s">
        <v>14</v>
      </c>
    </row>
    <row r="16" spans="2:4" x14ac:dyDescent="0.25">
      <c r="B16" s="7" t="s">
        <v>15</v>
      </c>
      <c r="C16" s="5">
        <f>1+2.88/C17^2</f>
        <v>1.80719723183391</v>
      </c>
      <c r="D16" s="6" t="s">
        <v>16</v>
      </c>
    </row>
    <row r="17" spans="2:4" x14ac:dyDescent="0.25">
      <c r="B17" s="2" t="s">
        <v>17</v>
      </c>
      <c r="C17" s="5">
        <f>C14/C13</f>
        <v>1.8888888888888888</v>
      </c>
      <c r="D17" s="6" t="s">
        <v>18</v>
      </c>
    </row>
    <row r="18" spans="2:4" ht="19.5" customHeight="1" x14ac:dyDescent="0.35">
      <c r="B18" s="2" t="s">
        <v>19</v>
      </c>
      <c r="C18" s="5">
        <f>C13*C15</f>
        <v>180</v>
      </c>
      <c r="D18" s="6" t="s">
        <v>20</v>
      </c>
    </row>
    <row r="19" spans="2:4" x14ac:dyDescent="0.25">
      <c r="B19" s="2" t="s">
        <v>21</v>
      </c>
      <c r="C19" s="5">
        <f>10*SQRT(C7*1000)*C18/1000</f>
        <v>139.31116251040331</v>
      </c>
      <c r="D19" s="6" t="s">
        <v>22</v>
      </c>
    </row>
    <row r="20" spans="2:4" x14ac:dyDescent="0.25">
      <c r="B20" s="2" t="s">
        <v>23</v>
      </c>
      <c r="C20" s="8" t="str">
        <f>IF(C19&gt;C4,"OK","Not OK")</f>
        <v>OK</v>
      </c>
    </row>
    <row r="22" spans="2:4" x14ac:dyDescent="0.25">
      <c r="B22" s="4" t="s">
        <v>24</v>
      </c>
    </row>
    <row r="23" spans="2:4" x14ac:dyDescent="0.25">
      <c r="B23" s="7" t="s">
        <v>25</v>
      </c>
      <c r="C23" s="9">
        <v>18</v>
      </c>
      <c r="D23" s="6" t="s">
        <v>26</v>
      </c>
    </row>
    <row r="24" spans="2:4" x14ac:dyDescent="0.25">
      <c r="B24" s="7" t="s">
        <v>27</v>
      </c>
      <c r="C24" s="9">
        <v>0.75</v>
      </c>
      <c r="D24" s="6"/>
    </row>
    <row r="25" spans="2:4" ht="18" x14ac:dyDescent="0.35">
      <c r="B25" s="10" t="s">
        <v>28</v>
      </c>
      <c r="C25" s="11">
        <v>3.61</v>
      </c>
      <c r="D25" s="6" t="s">
        <v>29</v>
      </c>
    </row>
    <row r="26" spans="2:4" ht="18" x14ac:dyDescent="0.35">
      <c r="B26" s="12" t="s">
        <v>30</v>
      </c>
      <c r="C26" s="13">
        <f>C25*2/(C13*C15)</f>
        <v>4.0111111111111111E-2</v>
      </c>
      <c r="D26" s="6" t="s">
        <v>31</v>
      </c>
    </row>
    <row r="27" spans="2:4" x14ac:dyDescent="0.25">
      <c r="B27" s="2" t="s">
        <v>32</v>
      </c>
      <c r="C27" s="5">
        <f>3*C8*1000/(40*SQRT(C7*1000)*2.5)</f>
        <v>24.420153695479708</v>
      </c>
      <c r="D27" s="6"/>
    </row>
    <row r="28" spans="2:4" ht="18" x14ac:dyDescent="0.35">
      <c r="B28" s="2" t="s">
        <v>33</v>
      </c>
      <c r="C28" s="5">
        <f>C14/COS(RADIANS(C23))</f>
        <v>35.749715624101086</v>
      </c>
      <c r="D28" s="6" t="s">
        <v>34</v>
      </c>
    </row>
    <row r="29" spans="2:4" ht="18" x14ac:dyDescent="0.35">
      <c r="B29" s="2" t="s">
        <v>35</v>
      </c>
      <c r="C29" s="5">
        <f>2*C25*C8*SIN(RADIANS(C23))</f>
        <v>140.55947006138857</v>
      </c>
      <c r="D29" s="6" t="s">
        <v>36</v>
      </c>
    </row>
    <row r="31" spans="2:4" x14ac:dyDescent="0.25">
      <c r="B31" s="14"/>
    </row>
    <row r="32" spans="2:4" x14ac:dyDescent="0.25">
      <c r="B32" s="4" t="s">
        <v>37</v>
      </c>
    </row>
    <row r="33" spans="2:7" ht="18" x14ac:dyDescent="0.35">
      <c r="B33" s="10" t="s">
        <v>38</v>
      </c>
      <c r="C33" s="5">
        <f>C15*C14/(2*COS(RADIANS(C23))*SIN(RADIANS(C23))^2*(C17^3+2.88*C17))</f>
        <v>153.69264303032639</v>
      </c>
      <c r="D33" s="6" t="s">
        <v>39</v>
      </c>
    </row>
    <row r="34" spans="2:7" ht="18" x14ac:dyDescent="0.35">
      <c r="B34" s="10" t="s">
        <v>40</v>
      </c>
      <c r="C34" s="5">
        <f>C13*C15*(SQRT((C43*C13)^2+C14^2))^3/(2*C16*C14^3*C43^2)</f>
        <v>101.19536798214894</v>
      </c>
      <c r="D34" s="6" t="s">
        <v>41</v>
      </c>
    </row>
    <row r="35" spans="2:7" ht="18" x14ac:dyDescent="0.35">
      <c r="B35" s="12" t="s">
        <v>42</v>
      </c>
      <c r="C35" s="5">
        <f>620*C15*C13^2/(6*SIN(RADIANS(C23))*C33*C14)</f>
        <v>207.33426859666008</v>
      </c>
      <c r="D35" s="6"/>
    </row>
    <row r="36" spans="2:7" ht="18" x14ac:dyDescent="0.35">
      <c r="B36" s="10" t="s">
        <v>43</v>
      </c>
      <c r="C36" s="5">
        <f>C33+(29000/C9-1)*C26*C15*C13/2</f>
        <v>173.32034545095394</v>
      </c>
      <c r="D36" s="6" t="s">
        <v>44</v>
      </c>
    </row>
    <row r="37" spans="2:7" ht="18" x14ac:dyDescent="0.35">
      <c r="B37" s="12" t="s">
        <v>42</v>
      </c>
      <c r="C37" s="11">
        <f>11.7*SQRT(C7*1000)*C15*C13^2/(6*SIN(RADIANS(C23))*C33*C14)</f>
        <v>302.81589824498707</v>
      </c>
      <c r="D37" s="6" t="s">
        <v>45</v>
      </c>
    </row>
    <row r="38" spans="2:7" x14ac:dyDescent="0.25">
      <c r="B38" s="12" t="s">
        <v>46</v>
      </c>
      <c r="C38" s="5">
        <f>1+2.88/C17^2</f>
        <v>1.80719723183391</v>
      </c>
    </row>
    <row r="39" spans="2:7" x14ac:dyDescent="0.25">
      <c r="B39" s="12" t="s">
        <v>47</v>
      </c>
      <c r="C39" s="15">
        <f>C33/(C13*C15)</f>
        <v>0.85384801683514666</v>
      </c>
      <c r="D39" s="6" t="s">
        <v>48</v>
      </c>
    </row>
    <row r="41" spans="2:7" ht="18" x14ac:dyDescent="0.35">
      <c r="B41" s="12" t="s">
        <v>49</v>
      </c>
      <c r="C41" s="5">
        <f>TAN(RADIANS(C23))*C14/C13</f>
        <v>0.6137372039954897</v>
      </c>
      <c r="F41" s="16"/>
    </row>
    <row r="42" spans="2:7" x14ac:dyDescent="0.25">
      <c r="B42" s="12" t="s">
        <v>50</v>
      </c>
      <c r="C42" s="5">
        <f>SQRT((2*C26*29000/C9/(1+C41))*(2*29000/C9*C26+2)/(1+C41))-2*C26*29000/C9/(1+C41)</f>
        <v>0.38639521940496097</v>
      </c>
    </row>
    <row r="43" spans="2:7" ht="18" x14ac:dyDescent="0.35">
      <c r="B43" s="12" t="s">
        <v>51</v>
      </c>
      <c r="C43" s="5">
        <f>1-C42*(1+C41)/3</f>
        <v>0.79215321966673813</v>
      </c>
    </row>
    <row r="44" spans="2:7" x14ac:dyDescent="0.25">
      <c r="B44" s="12" t="s">
        <v>53</v>
      </c>
      <c r="C44" s="5">
        <f>0.05*C17</f>
        <v>9.4444444444444442E-2</v>
      </c>
      <c r="D44" s="12" t="s">
        <v>52</v>
      </c>
      <c r="E44" s="5">
        <f>1/(C14/(4*C9*C44*C15*C13^3/12)+3/(C14*C10*5*C18/6*0.5))</f>
        <v>211094.01634788391</v>
      </c>
      <c r="F44" s="6" t="s">
        <v>54</v>
      </c>
      <c r="G44" t="s">
        <v>67</v>
      </c>
    </row>
    <row r="46" spans="2:7" x14ac:dyDescent="0.25">
      <c r="B46" s="4" t="s">
        <v>68</v>
      </c>
    </row>
    <row r="47" spans="2:7" x14ac:dyDescent="0.25">
      <c r="B47" s="12" t="s">
        <v>52</v>
      </c>
      <c r="C47" s="5">
        <f>+E44</f>
        <v>211094.01634788391</v>
      </c>
      <c r="D47" s="6" t="s">
        <v>54</v>
      </c>
      <c r="E47" t="s">
        <v>67</v>
      </c>
    </row>
    <row r="48" spans="2:7" ht="18" x14ac:dyDescent="0.35">
      <c r="B48" s="2" t="s">
        <v>55</v>
      </c>
      <c r="C48" s="3">
        <v>29000</v>
      </c>
    </row>
    <row r="49" spans="2:4" ht="18" x14ac:dyDescent="0.35">
      <c r="B49" s="2" t="s">
        <v>56</v>
      </c>
      <c r="C49" s="3">
        <v>63</v>
      </c>
    </row>
    <row r="50" spans="2:4" ht="18" x14ac:dyDescent="0.35">
      <c r="B50" s="2" t="s">
        <v>64</v>
      </c>
      <c r="C50" s="3">
        <f>C25*C49*COS(C23*PI()/180)*C41*C13</f>
        <v>2389.5109910436054</v>
      </c>
      <c r="D50" s="6" t="s">
        <v>63</v>
      </c>
    </row>
    <row r="51" spans="2:4" x14ac:dyDescent="0.25">
      <c r="B51" s="2" t="s">
        <v>57</v>
      </c>
      <c r="C51" s="3">
        <v>0.02</v>
      </c>
      <c r="D51" s="6" t="s">
        <v>58</v>
      </c>
    </row>
    <row r="52" spans="2:4" x14ac:dyDescent="0.25">
      <c r="C52" t="s">
        <v>65</v>
      </c>
      <c r="D52" t="s">
        <v>66</v>
      </c>
    </row>
    <row r="53" spans="2:4" x14ac:dyDescent="0.25">
      <c r="B53" s="2" t="s">
        <v>59</v>
      </c>
      <c r="C53" s="9">
        <v>0</v>
      </c>
      <c r="D53" s="9">
        <v>0</v>
      </c>
    </row>
    <row r="54" spans="2:4" x14ac:dyDescent="0.25">
      <c r="B54" s="2" t="s">
        <v>60</v>
      </c>
      <c r="C54" s="17">
        <v>0</v>
      </c>
      <c r="D54" s="3">
        <f>C50</f>
        <v>2389.5109910436054</v>
      </c>
    </row>
    <row r="55" spans="2:4" x14ac:dyDescent="0.25">
      <c r="B55" s="2" t="s">
        <v>61</v>
      </c>
      <c r="C55" s="9">
        <v>0.08</v>
      </c>
      <c r="D55" s="9">
        <f>(C55-C54)*C51*C47+C50</f>
        <v>2727.2614172002195</v>
      </c>
    </row>
    <row r="56" spans="2:4" x14ac:dyDescent="0.25">
      <c r="B56" s="2" t="s">
        <v>62</v>
      </c>
      <c r="C56" s="9">
        <v>0.1</v>
      </c>
      <c r="D56" s="9">
        <f>0.8*D54</f>
        <v>1911.6087928348843</v>
      </c>
    </row>
  </sheetData>
  <conditionalFormatting sqref="C20">
    <cfRule type="containsText" dxfId="1" priority="1" operator="containsText" text="Not OK">
      <formula>NOT(ISERROR(SEARCH("Not OK",C20)))</formula>
    </cfRule>
    <cfRule type="containsText" dxfId="0" priority="2" operator="containsText" text="OK">
      <formula>NOT(ISERROR(SEARCH("OK",C20)))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Godinez</dc:creator>
  <cp:lastModifiedBy>Sergio Godinez</cp:lastModifiedBy>
  <dcterms:created xsi:type="dcterms:W3CDTF">2024-04-09T19:10:00Z</dcterms:created>
  <dcterms:modified xsi:type="dcterms:W3CDTF">2026-05-02T23:09:18Z</dcterms:modified>
</cp:coreProperties>
</file>