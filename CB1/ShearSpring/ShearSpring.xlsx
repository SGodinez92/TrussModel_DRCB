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1\ShearSpring\"/>
    </mc:Choice>
  </mc:AlternateContent>
  <xr:revisionPtr revIDLastSave="0" documentId="13_ncr:1_{1143AE1D-F5CF-4F2D-97FC-AE4C88A1836C}" xr6:coauthVersionLast="47" xr6:coauthVersionMax="47" xr10:uidLastSave="{00000000-0000-0000-0000-000000000000}"/>
  <bookViews>
    <workbookView xWindow="-120" yWindow="-12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56" i="1"/>
  <c r="C55" i="1"/>
  <c r="C26" i="1"/>
  <c r="C27" i="1"/>
  <c r="C28" i="1"/>
  <c r="C29" i="1"/>
  <c r="C50" i="1"/>
  <c r="C18" i="1"/>
  <c r="C19" i="1" s="1"/>
  <c r="C20" i="1" s="1"/>
  <c r="C9" i="1"/>
  <c r="C11" i="1" s="1"/>
  <c r="C10" i="1" l="1"/>
  <c r="C41" i="1"/>
  <c r="C17" i="1"/>
  <c r="E44" i="1" l="1"/>
  <c r="C42" i="1"/>
  <c r="C43" i="1" s="1"/>
  <c r="C16" i="1"/>
  <c r="C38" i="1"/>
  <c r="C33" i="1"/>
  <c r="C34" i="1" l="1"/>
  <c r="C47" i="1"/>
  <c r="C54" i="1" s="1"/>
  <c r="C39" i="1"/>
  <c r="C37" i="1"/>
  <c r="C36" i="1"/>
  <c r="C35" i="1"/>
  <c r="D55" i="1" l="1"/>
  <c r="D54" i="1"/>
  <c r="D56" i="1" s="1"/>
</calcChain>
</file>

<file path=xl/sharedStrings.xml><?xml version="1.0" encoding="utf-8"?>
<sst xmlns="http://schemas.openxmlformats.org/spreadsheetml/2006/main" count="72" uniqueCount="69">
  <si>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</si>
  <si>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</si>
  <si>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</si>
  <si>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</si>
  <si>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</si>
  <si>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</si>
  <si>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</si>
  <si>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</si>
  <si>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</si>
  <si>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</si>
  <si>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</si>
  <si>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</si>
  <si>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</si>
  <si>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</si>
  <si>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</si>
  <si>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</si>
  <si>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</si>
  <si>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</si>
  <si>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</si>
  <si>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</si>
  <si>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</si>
  <si>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</si>
  <si>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</si>
  <si>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</si>
  <si>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</si>
  <si>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</si>
  <si>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</si>
  <si>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</si>
  <si>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</si>
  <si>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</si>
  <si>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</si>
  <si>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</si>
  <si>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</si>
  <si>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</si>
  <si>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</si>
  <si>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</si>
  <si>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</si>
  <si>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</si>
  <si>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</si>
  <si>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</si>
  <si>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</si>
  <si>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</si>
  <si>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</si>
  <si>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</si>
  <si>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</si>
  <si>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</si>
  <si>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</si>
  <si>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</si>
  <si>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</si>
  <si>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</si>
  <si>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</si>
  <si>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</si>
  <si>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</si>
  <si>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</si>
  <si>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</si>
  <si>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</si>
  <si>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</si>
  <si>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</si>
  <si>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</si>
  <si>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</si>
  <si>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Spring</t>
  </si>
  <si>
    <t>b</t>
  </si>
  <si>
    <t>Hardening ratio</t>
  </si>
  <si>
    <t>d</t>
  </si>
  <si>
    <t>F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</si>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</sst>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F56"/>
  <sheetViews>
    <sheetView tabSelected="1" topLeftCell="A27" workbookViewId="0">
      <selection activeCell="Q38" sqref="Q38"/>
    </sheetView>
  </sheetViews>
  <sheetFormatPr defaultRowHeight="15" x14ac:dyDescent="0.25"/>
  <cols>
    <col min="1" max="1" width="2.85546875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>
        <v>140</v>
      </c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5.99</v>
      </c>
    </row>
    <row r="8" spans="2:4" ht="18" x14ac:dyDescent="0.35">
      <c r="B8" s="2" t="s">
        <v>4</v>
      </c>
      <c r="C8" s="3">
        <v>63</v>
      </c>
    </row>
    <row r="9" spans="2:4" ht="18" x14ac:dyDescent="0.35">
      <c r="B9" s="2" t="s">
        <v>5</v>
      </c>
      <c r="C9" s="2">
        <f>33000*(0.14+C7/1000)^1.5*SQRT(C7)</f>
        <v>4505.1786146925288</v>
      </c>
    </row>
    <row r="10" spans="2:4" ht="18" x14ac:dyDescent="0.35">
      <c r="B10" s="2" t="s">
        <v>6</v>
      </c>
      <c r="C10" s="2">
        <f>C9/(2*1.2)</f>
        <v>1877.1577561218871</v>
      </c>
    </row>
    <row r="11" spans="2:4" x14ac:dyDescent="0.25">
      <c r="B11" s="5" t="s">
        <v>7</v>
      </c>
      <c r="C11" s="5">
        <f>29000/C9</f>
        <v>6.437036681614277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34</v>
      </c>
      <c r="D14" s="6" t="s">
        <v>12</v>
      </c>
    </row>
    <row r="15" spans="2:4" ht="18" x14ac:dyDescent="0.35">
      <c r="B15" s="2" t="s">
        <v>13</v>
      </c>
      <c r="C15" s="3">
        <v>10</v>
      </c>
      <c r="D15" s="6" t="s">
        <v>14</v>
      </c>
    </row>
    <row r="16" spans="2:4" x14ac:dyDescent="0.25">
      <c r="B16" s="7" t="s">
        <v>15</v>
      </c>
      <c r="C16" s="5">
        <f>1+2.88/C17^2</f>
        <v>1.80719723183391</v>
      </c>
      <c r="D16" s="6" t="s">
        <v>16</v>
      </c>
    </row>
    <row r="17" spans="2:4" x14ac:dyDescent="0.25">
      <c r="B17" s="2" t="s">
        <v>17</v>
      </c>
      <c r="C17" s="5">
        <f>C14/C13</f>
        <v>1.8888888888888888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180</v>
      </c>
      <c r="D18" s="6" t="s">
        <v>20</v>
      </c>
    </row>
    <row r="19" spans="2:4" x14ac:dyDescent="0.25">
      <c r="B19" s="2" t="s">
        <v>21</v>
      </c>
      <c r="C19" s="5">
        <f>10*SQRT(C7*1000)*C18/1000</f>
        <v>139.31116251040331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Not 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18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4.0111111111111111E-2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24.420153695479708</v>
      </c>
      <c r="D27" s="6"/>
    </row>
    <row r="28" spans="2:4" ht="18" x14ac:dyDescent="0.35">
      <c r="B28" s="2" t="s">
        <v>33</v>
      </c>
      <c r="C28" s="5">
        <f>C14/COS(RADIANS(C23))</f>
        <v>35.749715624101086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140.55947006138857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153.69264303032639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101.19536798214894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207.33426859666008</v>
      </c>
      <c r="D35" s="6"/>
    </row>
    <row r="36" spans="2:6" ht="18" x14ac:dyDescent="0.35">
      <c r="B36" s="10" t="s">
        <v>43</v>
      </c>
      <c r="C36" s="5">
        <f>C33+(29000/C9-1)*C26*C15*C13/2</f>
        <v>173.32034545095394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302.81589824498707</v>
      </c>
      <c r="D37" s="6" t="s">
        <v>45</v>
      </c>
    </row>
    <row r="38" spans="2:6" x14ac:dyDescent="0.25">
      <c r="B38" s="12" t="s">
        <v>46</v>
      </c>
      <c r="C38" s="5">
        <f>1+2.88/C17^2</f>
        <v>1.80719723183391</v>
      </c>
    </row>
    <row r="39" spans="2:6" x14ac:dyDescent="0.25">
      <c r="B39" s="12" t="s">
        <v>47</v>
      </c>
      <c r="C39" s="15">
        <f>C33/(C13*C15)</f>
        <v>0.85384801683514666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0.6137372039954897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0.38639521940496097</v>
      </c>
    </row>
    <row r="43" spans="2:6" ht="18" x14ac:dyDescent="0.35">
      <c r="B43" s="12" t="s">
        <v>51</v>
      </c>
      <c r="C43" s="5">
        <f>1-C42*(1+C41)/3</f>
        <v>0.79215321966673813</v>
      </c>
    </row>
    <row r="44" spans="2:6" x14ac:dyDescent="0.25">
      <c r="B44" s="12" t="s">
        <v>53</v>
      </c>
      <c r="C44" s="5">
        <f>0.05*C17</f>
        <v>9.4444444444444442E-2</v>
      </c>
      <c r="D44" s="12" t="s">
        <v>52</v>
      </c>
      <c r="E44" s="5">
        <f>1/(C14^3/(12*C9*C44*C15*C13^3/12)+C14/(C10*5*C18/6*0.5))</f>
        <v>547.82184173326266</v>
      </c>
      <c r="F44" s="6" t="s">
        <v>54</v>
      </c>
    </row>
    <row r="46" spans="2:6" x14ac:dyDescent="0.25">
      <c r="B46" s="4" t="s">
        <v>55</v>
      </c>
    </row>
    <row r="47" spans="2:6" x14ac:dyDescent="0.25">
      <c r="B47" s="12" t="s">
        <v>52</v>
      </c>
      <c r="C47" s="5">
        <f>E44</f>
        <v>547.82184173326266</v>
      </c>
      <c r="D47" s="6" t="s">
        <v>54</v>
      </c>
      <c r="E47" t="s">
        <v>56</v>
      </c>
    </row>
    <row r="48" spans="2:6" ht="18" x14ac:dyDescent="0.35">
      <c r="B48" s="2" t="s">
        <v>57</v>
      </c>
      <c r="C48" s="3">
        <v>29000</v>
      </c>
    </row>
    <row r="49" spans="2:4" ht="18" x14ac:dyDescent="0.35">
      <c r="B49" s="2" t="s">
        <v>58</v>
      </c>
      <c r="C49" s="3">
        <v>63</v>
      </c>
    </row>
    <row r="50" spans="2:4" ht="18" x14ac:dyDescent="0.35">
      <c r="B50" s="2" t="s">
        <v>59</v>
      </c>
      <c r="C50" s="3">
        <f>2*C25*C49*SIN(C23*PI()/180)</f>
        <v>140.55947006138857</v>
      </c>
      <c r="D50" s="6" t="s">
        <v>60</v>
      </c>
    </row>
    <row r="51" spans="2:4" x14ac:dyDescent="0.25">
      <c r="B51" s="2" t="s">
        <v>61</v>
      </c>
      <c r="C51" s="3">
        <v>0.02</v>
      </c>
      <c r="D51" s="6" t="s">
        <v>62</v>
      </c>
    </row>
    <row r="52" spans="2:4" x14ac:dyDescent="0.25">
      <c r="C52" t="s">
        <v>63</v>
      </c>
      <c r="D52" t="s">
        <v>64</v>
      </c>
    </row>
    <row r="53" spans="2:4" x14ac:dyDescent="0.25">
      <c r="B53" s="2" t="s">
        <v>65</v>
      </c>
      <c r="C53" s="9">
        <v>0</v>
      </c>
      <c r="D53" s="9">
        <v>0</v>
      </c>
    </row>
    <row r="54" spans="2:4" x14ac:dyDescent="0.25">
      <c r="B54" s="2" t="s">
        <v>66</v>
      </c>
      <c r="C54" s="17">
        <f>C50/C47</f>
        <v>0.2565787987143231</v>
      </c>
      <c r="D54" s="3">
        <f>C54*C47</f>
        <v>140.55947006138857</v>
      </c>
    </row>
    <row r="55" spans="2:4" x14ac:dyDescent="0.25">
      <c r="B55" s="2" t="s">
        <v>67</v>
      </c>
      <c r="C55" s="9">
        <f>0.08*C14</f>
        <v>2.72</v>
      </c>
      <c r="D55" s="9">
        <f>(C55-C54)*C51*C47+C50</f>
        <v>167.54978885045028</v>
      </c>
    </row>
    <row r="56" spans="2:4" x14ac:dyDescent="0.25">
      <c r="B56" s="2" t="s">
        <v>68</v>
      </c>
      <c r="C56" s="9">
        <f>0.1*C14</f>
        <v>3.4000000000000004</v>
      </c>
      <c r="D56" s="9">
        <f>0.8*D54</f>
        <v>112.44757604911086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2026-05-02T23:04:47Z</dcterms:modified>
</cp:coreProperties>
</file>