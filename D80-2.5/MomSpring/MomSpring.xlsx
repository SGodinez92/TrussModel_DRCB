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D80-2.5\MomSpring\"/>
    </mc:Choice>
  </mc:AlternateContent>
  <xr:revisionPtr revIDLastSave="0" documentId="13_ncr:1_{A9B1A54D-80E7-4B7D-ACDC-DE3E45855CEB}" xr6:coauthVersionLast="47" xr6:coauthVersionMax="47" xr10:uidLastSave="{00000000-0000-0000-0000-000000000000}"/>
  <bookViews>
    <workbookView xWindow="28680" yWindow="66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4" i="1"/>
  <c r="D56" i="1" s="1"/>
  <c r="C50" i="1"/>
  <c r="C47" i="1"/>
  <c r="E44" i="1"/>
  <c r="C26" i="1"/>
  <c r="C27" i="1"/>
  <c r="C28" i="1"/>
  <c r="C29" i="1"/>
  <c r="C18" i="1"/>
  <c r="C19" i="1" s="1"/>
  <c r="C20" i="1" s="1"/>
  <c r="C9" i="1"/>
  <c r="C11" i="1" s="1"/>
  <c r="C10" i="1" l="1"/>
  <c r="C41" i="1"/>
  <c r="C17" i="1"/>
  <c r="C44" i="1" s="1"/>
  <c r="C42" i="1" l="1"/>
  <c r="C43" i="1" s="1"/>
  <c r="C16" i="1"/>
  <c r="C38" i="1"/>
  <c r="C33" i="1"/>
  <c r="C34" i="1" l="1"/>
  <c r="C39" i="1"/>
  <c r="C37" i="1"/>
  <c r="C36" i="1"/>
  <c r="C35" i="1"/>
</calcChain>
</file>

<file path=xl/sharedStrings.xml><?xml version="1.0" encoding="utf-8"?>
<sst xmlns="http://schemas.openxmlformats.org/spreadsheetml/2006/main" count="73" uniqueCount="69">
  <si>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</si>
  <si>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</si>
  <si>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</si>
  <si>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</si>
  <si>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</si>
  <si>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</si>
  <si>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</si>
  <si>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</si>
  <si>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</si>
  <si>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</si>
  <si>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</si>
  <si>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</si>
  <si>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</si>
  <si>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</si>
  <si>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</si>
  <si>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</si>
  <si>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</si>
  <si>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</si>
  <si>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</si>
  <si>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</si>
  <si>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</si>
  <si>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</si>
  <si>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</si>
  <si>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</si>
  <si>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</si>
  <si>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</si>
  <si>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</si>
  <si>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</si>
  <si>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</si>
  <si>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</si>
  <si>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</si>
  <si>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</si>
  <si>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</si>
  <si>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</si>
  <si>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</si>
  <si>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</si>
  <si>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</si>
  <si>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</si>
  <si>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</si>
  <si>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</si>
  <si>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</si>
  <si>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</si>
  <si>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</si>
  <si>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</si>
  <si>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</si>
  <si>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</si>
  <si>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</si>
  <si>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</si>
  <si>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</si>
  <si>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</si>
  <si>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</si>
  <si>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</si>
  <si>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</si>
  <si>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</si>
  <si>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</si>
  <si>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</si>
  <si>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</si>
  <si>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</si>
  <si>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(kips)</t>
    </r>
  </si>
  <si>
    <t>b</t>
  </si>
  <si>
    <t>Hardening ratio</t>
  </si>
  <si>
    <t>d</t>
  </si>
  <si>
    <t>F</t>
  </si>
  <si>
    <t>A</t>
  </si>
  <si>
    <t>B</t>
  </si>
  <si>
    <t>C</t>
  </si>
  <si>
    <t>E</t>
  </si>
  <si>
    <t>k-in/rad</t>
  </si>
  <si>
    <t>Spring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</si>
</sst>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G56"/>
  <sheetViews>
    <sheetView tabSelected="1" topLeftCell="A34" workbookViewId="0">
      <selection activeCell="D53" sqref="D53"/>
    </sheetView>
  </sheetViews>
  <sheetFormatPr defaultRowHeight="15" x14ac:dyDescent="0.25"/>
  <cols>
    <col min="1" max="1" width="2.85546875" customWidth="1"/>
    <col min="3" max="3" width="9.5703125" bestFit="1" customWidth="1"/>
    <col min="5" max="5" width="9.5703125" bestFit="1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/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8.4</v>
      </c>
    </row>
    <row r="8" spans="2:4" ht="18" x14ac:dyDescent="0.35">
      <c r="B8" s="2" t="s">
        <v>4</v>
      </c>
      <c r="C8" s="3">
        <v>83</v>
      </c>
    </row>
    <row r="9" spans="2:4" ht="18" x14ac:dyDescent="0.35">
      <c r="B9" s="2" t="s">
        <v>5</v>
      </c>
      <c r="C9" s="2">
        <f>33000*(0.14+C7/1000)^1.5*SQRT(C7)</f>
        <v>5467.6969344167583</v>
      </c>
    </row>
    <row r="10" spans="2:4" ht="18" x14ac:dyDescent="0.35">
      <c r="B10" s="2" t="s">
        <v>6</v>
      </c>
      <c r="C10" s="2">
        <f>C9/(2*1.2)</f>
        <v>2278.2070560069828</v>
      </c>
    </row>
    <row r="11" spans="2:4" x14ac:dyDescent="0.25">
      <c r="B11" s="5" t="s">
        <v>7</v>
      </c>
      <c r="C11" s="5">
        <f>29000/C9</f>
        <v>5.3038784606838201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45</v>
      </c>
      <c r="D14" s="6" t="s">
        <v>12</v>
      </c>
    </row>
    <row r="15" spans="2:4" ht="18" x14ac:dyDescent="0.35">
      <c r="B15" s="2" t="s">
        <v>13</v>
      </c>
      <c r="C15" s="3">
        <v>12</v>
      </c>
      <c r="D15" s="6" t="s">
        <v>14</v>
      </c>
    </row>
    <row r="16" spans="2:4" x14ac:dyDescent="0.25">
      <c r="B16" s="7" t="s">
        <v>15</v>
      </c>
      <c r="C16" s="5">
        <f>1+2.88/C17^2</f>
        <v>1.4607999999999999</v>
      </c>
      <c r="D16" s="6" t="s">
        <v>16</v>
      </c>
    </row>
    <row r="17" spans="2:4" x14ac:dyDescent="0.25">
      <c r="B17" s="2" t="s">
        <v>17</v>
      </c>
      <c r="C17" s="5">
        <f>C14/C13</f>
        <v>2.5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216</v>
      </c>
      <c r="D18" s="6" t="s">
        <v>20</v>
      </c>
    </row>
    <row r="19" spans="2:4" x14ac:dyDescent="0.25">
      <c r="B19" s="2" t="s">
        <v>21</v>
      </c>
      <c r="C19" s="5">
        <f>10*SQRT(C7*1000)*C18/1000</f>
        <v>197.96727002209226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14.2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3.96</v>
      </c>
      <c r="D25" s="6" t="s">
        <v>29</v>
      </c>
    </row>
    <row r="26" spans="2:4" ht="18" x14ac:dyDescent="0.35">
      <c r="B26" s="12" t="s">
        <v>30</v>
      </c>
      <c r="C26" s="13">
        <f>C25*2/(C13*C15)</f>
        <v>3.6666666666666667E-2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27.168127334381051</v>
      </c>
      <c r="D27" s="6"/>
    </row>
    <row r="28" spans="2:4" ht="18" x14ac:dyDescent="0.35">
      <c r="B28" s="2" t="s">
        <v>33</v>
      </c>
      <c r="C28" s="5">
        <f>C14/COS(RADIANS(C23))</f>
        <v>46.418294754693989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161.25526318128965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7" ht="18" x14ac:dyDescent="0.35">
      <c r="B33" s="10" t="s">
        <v>38</v>
      </c>
      <c r="C33" s="5">
        <f>C15*C14/(2*COS(RADIANS(C23))*SIN(RADIANS(C23))^2*(C17^3+2.88*C17))</f>
        <v>202.77219260186081</v>
      </c>
      <c r="D33" s="6" t="s">
        <v>39</v>
      </c>
    </row>
    <row r="34" spans="2:7" ht="18" x14ac:dyDescent="0.35">
      <c r="B34" s="10" t="s">
        <v>40</v>
      </c>
      <c r="C34" s="5">
        <f>C13*C15*(SQRT((C43*C13)^2+C14^2))^3/(2*C16*C14^3*C43^2)</f>
        <v>131.34821340216899</v>
      </c>
      <c r="D34" s="6" t="s">
        <v>41</v>
      </c>
    </row>
    <row r="35" spans="2:7" ht="18" x14ac:dyDescent="0.35">
      <c r="B35" s="12" t="s">
        <v>42</v>
      </c>
      <c r="C35" s="5">
        <f>620*C15*C13^2/(6*SIN(RADIANS(C23))*C33*C14)</f>
        <v>179.48789319087996</v>
      </c>
      <c r="D35" s="6"/>
    </row>
    <row r="36" spans="2:7" ht="18" x14ac:dyDescent="0.35">
      <c r="B36" s="10" t="s">
        <v>43</v>
      </c>
      <c r="C36" s="5">
        <f>C33+(29000/C9-1)*C26*C15*C13/2</f>
        <v>219.81555130616874</v>
      </c>
      <c r="D36" s="6" t="s">
        <v>44</v>
      </c>
    </row>
    <row r="37" spans="2:7" ht="18" x14ac:dyDescent="0.35">
      <c r="B37" s="12" t="s">
        <v>42</v>
      </c>
      <c r="C37" s="11">
        <f>11.7*SQRT(C7*1000)*C15*C13^2/(6*SIN(RADIANS(C23))*C33*C14)</f>
        <v>310.43378146586025</v>
      </c>
      <c r="D37" s="6" t="s">
        <v>45</v>
      </c>
    </row>
    <row r="38" spans="2:7" x14ac:dyDescent="0.25">
      <c r="B38" s="12" t="s">
        <v>46</v>
      </c>
      <c r="C38" s="5">
        <f>1+2.88/C17^2</f>
        <v>1.4607999999999999</v>
      </c>
    </row>
    <row r="39" spans="2:7" x14ac:dyDescent="0.25">
      <c r="B39" s="12" t="s">
        <v>47</v>
      </c>
      <c r="C39" s="15">
        <f>C33/(C13*C15)</f>
        <v>0.93876015093454079</v>
      </c>
      <c r="D39" s="6" t="s">
        <v>48</v>
      </c>
    </row>
    <row r="41" spans="2:7" ht="18" x14ac:dyDescent="0.35">
      <c r="B41" s="12" t="s">
        <v>49</v>
      </c>
      <c r="C41" s="5">
        <f>TAN(RADIANS(C23))*C14/C13</f>
        <v>0.63259725240142861</v>
      </c>
      <c r="F41" s="16"/>
    </row>
    <row r="42" spans="2:7" x14ac:dyDescent="0.25">
      <c r="B42" s="12" t="s">
        <v>50</v>
      </c>
      <c r="C42" s="5">
        <f>SQRT((2*C26*29000/C9/(1+C41))*(2*29000/C9*C26+2)/(1+C41))-2*C26*29000/C9/(1+C41)</f>
        <v>0.35219427277292309</v>
      </c>
    </row>
    <row r="43" spans="2:7" ht="18" x14ac:dyDescent="0.35">
      <c r="B43" s="12" t="s">
        <v>51</v>
      </c>
      <c r="C43" s="5">
        <f>1-C42*(1+C41)/3</f>
        <v>0.80833619931980216</v>
      </c>
    </row>
    <row r="44" spans="2:7" x14ac:dyDescent="0.25">
      <c r="B44" s="12" t="s">
        <v>53</v>
      </c>
      <c r="C44" s="5">
        <f>0.05*C17</f>
        <v>0.125</v>
      </c>
      <c r="D44" s="12" t="s">
        <v>52</v>
      </c>
      <c r="E44" s="5">
        <f>1/(C14/(4*C9*C44*C15*C13^3/12)+3/(C14*C10*5*C18/6*0.5))</f>
        <v>317706.92373583745</v>
      </c>
      <c r="F44" s="6" t="s">
        <v>54</v>
      </c>
      <c r="G44" t="s">
        <v>67</v>
      </c>
    </row>
    <row r="46" spans="2:7" x14ac:dyDescent="0.25">
      <c r="B46" s="4" t="s">
        <v>55</v>
      </c>
    </row>
    <row r="47" spans="2:7" x14ac:dyDescent="0.25">
      <c r="B47" s="12" t="s">
        <v>52</v>
      </c>
      <c r="C47" s="5">
        <f>+E44</f>
        <v>317706.92373583745</v>
      </c>
      <c r="D47" s="6" t="s">
        <v>54</v>
      </c>
      <c r="E47" t="s">
        <v>67</v>
      </c>
    </row>
    <row r="48" spans="2:7" ht="18" x14ac:dyDescent="0.35">
      <c r="B48" s="2" t="s">
        <v>56</v>
      </c>
      <c r="C48" s="3">
        <v>29000</v>
      </c>
    </row>
    <row r="49" spans="2:4" ht="18" x14ac:dyDescent="0.35">
      <c r="B49" s="2" t="s">
        <v>57</v>
      </c>
      <c r="C49" s="3">
        <v>83</v>
      </c>
    </row>
    <row r="50" spans="2:4" ht="18" x14ac:dyDescent="0.35">
      <c r="B50" s="2" t="s">
        <v>58</v>
      </c>
      <c r="C50" s="3">
        <f>C25*C49*COS(C23*PI()/180)*C41*C13</f>
        <v>3628.2434215790172</v>
      </c>
      <c r="D50" s="6" t="s">
        <v>68</v>
      </c>
    </row>
    <row r="51" spans="2:4" x14ac:dyDescent="0.25">
      <c r="B51" s="2" t="s">
        <v>59</v>
      </c>
      <c r="C51" s="3">
        <v>0.02</v>
      </c>
      <c r="D51" s="6" t="s">
        <v>60</v>
      </c>
    </row>
    <row r="52" spans="2:4" x14ac:dyDescent="0.25">
      <c r="C52" t="s">
        <v>61</v>
      </c>
      <c r="D52" t="s">
        <v>62</v>
      </c>
    </row>
    <row r="53" spans="2:4" x14ac:dyDescent="0.25">
      <c r="B53" s="2" t="s">
        <v>63</v>
      </c>
      <c r="C53" s="9">
        <v>0</v>
      </c>
      <c r="D53" s="9">
        <v>0</v>
      </c>
    </row>
    <row r="54" spans="2:4" x14ac:dyDescent="0.25">
      <c r="B54" s="2" t="s">
        <v>64</v>
      </c>
      <c r="C54" s="17">
        <v>0</v>
      </c>
      <c r="D54" s="3">
        <f>C50</f>
        <v>3628.2434215790172</v>
      </c>
    </row>
    <row r="55" spans="2:4" x14ac:dyDescent="0.25">
      <c r="B55" s="2" t="s">
        <v>65</v>
      </c>
      <c r="C55" s="9">
        <v>0.08</v>
      </c>
      <c r="D55" s="9">
        <f>(C55-C54)*C51*C47+C50</f>
        <v>4136.5744995563573</v>
      </c>
    </row>
    <row r="56" spans="2:4" x14ac:dyDescent="0.25">
      <c r="B56" s="2" t="s">
        <v>66</v>
      </c>
      <c r="C56" s="9">
        <v>0.1</v>
      </c>
      <c r="D56" s="9">
        <f>0.8*D54</f>
        <v>2902.594737263214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2026-05-03T00:12:24Z</dcterms:modified>
</cp:coreProperties>
</file>