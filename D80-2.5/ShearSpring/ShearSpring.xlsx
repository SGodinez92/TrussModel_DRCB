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D80-2.5\ShearSpring\"/>
    </mc:Choice>
  </mc:AlternateContent>
  <xr:revisionPtr revIDLastSave="0" documentId="13_ncr:1_{7996EA72-85D5-44DB-9ACC-8AEB6BC077D6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C44" i="1" s="1"/>
  <c r="E44" i="1" l="1"/>
  <c r="C42" i="1"/>
  <c r="C43" i="1" s="1"/>
  <c r="C16" i="1"/>
  <c r="C38" i="1"/>
  <c r="C33" i="1"/>
  <c r="C34" i="1" l="1"/>
  <c r="C47" i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<sst xmlns="http://schemas.openxmlformats.org/spreadsheetml/2006/main" count="72" uniqueCount="69">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</sst>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34" workbookViewId="0">
      <selection activeCell="C49" sqref="C49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8.4</v>
      </c>
    </row>
    <row r="8" spans="2:4" ht="18" x14ac:dyDescent="0.35">
      <c r="B8" s="2" t="s">
        <v>4</v>
      </c>
      <c r="C8" s="3">
        <v>83</v>
      </c>
    </row>
    <row r="9" spans="2:4" ht="18" x14ac:dyDescent="0.35">
      <c r="B9" s="2" t="s">
        <v>5</v>
      </c>
      <c r="C9" s="2">
        <f>33000*(0.14+C7/1000)^1.5*SQRT(C7)</f>
        <v>5467.6969344167583</v>
      </c>
    </row>
    <row r="10" spans="2:4" ht="18" x14ac:dyDescent="0.35">
      <c r="B10" s="2" t="s">
        <v>6</v>
      </c>
      <c r="C10" s="2">
        <f>C9/(2*1.2)</f>
        <v>2278.2070560069828</v>
      </c>
    </row>
    <row r="11" spans="2:4" x14ac:dyDescent="0.25">
      <c r="B11" s="5" t="s">
        <v>7</v>
      </c>
      <c r="C11" s="5">
        <f>29000/C9</f>
        <v>5.3038784606838201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45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1.4607999999999999</v>
      </c>
      <c r="D16" s="6" t="s">
        <v>16</v>
      </c>
    </row>
    <row r="17" spans="2:4" x14ac:dyDescent="0.25">
      <c r="B17" s="2" t="s">
        <v>17</v>
      </c>
      <c r="C17" s="5">
        <f>C14/C13</f>
        <v>2.5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197.96727002209226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14.2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3.96</v>
      </c>
      <c r="D25" s="6" t="s">
        <v>29</v>
      </c>
    </row>
    <row r="26" spans="2:4" ht="18" x14ac:dyDescent="0.35">
      <c r="B26" s="12" t="s">
        <v>30</v>
      </c>
      <c r="C26" s="13">
        <f>C25*2/(C13*C15)</f>
        <v>3.6666666666666667E-2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27.168127334381051</v>
      </c>
      <c r="D27" s="6"/>
    </row>
    <row r="28" spans="2:4" ht="18" x14ac:dyDescent="0.35">
      <c r="B28" s="2" t="s">
        <v>33</v>
      </c>
      <c r="C28" s="5">
        <f>C14/COS(RADIANS(C23))</f>
        <v>46.418294754693989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161.25526318128965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202.77219260186081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131.34821340216899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179.48789319087996</v>
      </c>
      <c r="D35" s="6"/>
    </row>
    <row r="36" spans="2:6" ht="18" x14ac:dyDescent="0.35">
      <c r="B36" s="10" t="s">
        <v>43</v>
      </c>
      <c r="C36" s="5">
        <f>C33+(29000/C9-1)*C26*C15*C13/2</f>
        <v>219.81555130616874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310.43378146586025</v>
      </c>
      <c r="D37" s="6" t="s">
        <v>45</v>
      </c>
    </row>
    <row r="38" spans="2:6" x14ac:dyDescent="0.25">
      <c r="B38" s="12" t="s">
        <v>46</v>
      </c>
      <c r="C38" s="5">
        <f>1+2.88/C17^2</f>
        <v>1.4607999999999999</v>
      </c>
    </row>
    <row r="39" spans="2:6" x14ac:dyDescent="0.25">
      <c r="B39" s="12" t="s">
        <v>47</v>
      </c>
      <c r="C39" s="15">
        <f>C33/(C13*C15)</f>
        <v>0.93876015093454079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0.63259725240142861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0.35219427277292309</v>
      </c>
    </row>
    <row r="43" spans="2:6" ht="18" x14ac:dyDescent="0.35">
      <c r="B43" s="12" t="s">
        <v>51</v>
      </c>
      <c r="C43" s="5">
        <f>1-C42*(1+C41)/3</f>
        <v>0.80833619931980216</v>
      </c>
    </row>
    <row r="44" spans="2:6" x14ac:dyDescent="0.25">
      <c r="B44" s="12" t="s">
        <v>53</v>
      </c>
      <c r="C44" s="5">
        <f>0.05*C17</f>
        <v>0.125</v>
      </c>
      <c r="D44" s="12" t="s">
        <v>52</v>
      </c>
      <c r="E44" s="5">
        <f>1/(C14^3/(12*C9*C44*C15*C13^3/12)+C14/(C10*5*C18/6*0.5))</f>
        <v>470.67692405309242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470.67692405309242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83</v>
      </c>
    </row>
    <row r="50" spans="2:4" ht="18" x14ac:dyDescent="0.35">
      <c r="B50" s="2" t="s">
        <v>59</v>
      </c>
      <c r="C50" s="3">
        <f>2*C25*C49*SIN(C23*PI()/180)</f>
        <v>161.25526318128965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0.34260286608633489</v>
      </c>
      <c r="D54" s="3">
        <f>C54*C47</f>
        <v>161.25526318128965</v>
      </c>
    </row>
    <row r="55" spans="2:4" x14ac:dyDescent="0.25">
      <c r="B55" s="2" t="s">
        <v>67</v>
      </c>
      <c r="C55" s="9">
        <f>0.08*C14</f>
        <v>3.6</v>
      </c>
      <c r="D55" s="9">
        <f>(C55-C54)*C51*C47+C50</f>
        <v>191.91889644948651</v>
      </c>
    </row>
    <row r="56" spans="2:4" x14ac:dyDescent="0.25">
      <c r="B56" s="2" t="s">
        <v>68</v>
      </c>
      <c r="C56" s="9">
        <f>0.1*C14</f>
        <v>4.5</v>
      </c>
      <c r="D56" s="9">
        <f>0.8*D54</f>
        <v>129.00421054503173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2026-05-03T00:03:37Z</dcterms:modified>
</cp:coreProperties>
</file>