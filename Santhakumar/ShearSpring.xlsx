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Santhakumar\"/>
    </mc:Choice>
  </mc:AlternateContent>
  <xr:revisionPtr revIDLastSave="0" documentId="13_ncr:1_{7255065A-639D-4C4B-98B6-5642FDEEDB61}" xr6:coauthVersionLast="47" xr6:coauthVersionMax="47" xr10:uidLastSave="{00000000-0000-0000-0000-000000000000}"/>
  <bookViews>
    <workbookView xWindow="-120" yWindow="-12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S11" i="1"/>
  <c r="I13" i="1"/>
  <c r="I14" i="1" s="1"/>
  <c r="C56" i="1"/>
  <c r="C55" i="1"/>
  <c r="C26" i="1"/>
  <c r="C27" i="1"/>
  <c r="C28" i="1"/>
  <c r="C29" i="1"/>
  <c r="C18" i="1"/>
  <c r="C19" i="1" s="1"/>
  <c r="C20" i="1" s="1"/>
  <c r="C9" i="1"/>
  <c r="C11" i="1" s="1"/>
  <c r="I15" i="1" l="1"/>
  <c r="K15" i="1" s="1"/>
  <c r="J14" i="1"/>
  <c r="C10" i="1"/>
  <c r="C41" i="1"/>
  <c r="C17" i="1"/>
  <c r="C44" i="1" s="1"/>
  <c r="C50" i="1" l="1"/>
  <c r="C54" i="1" s="1"/>
  <c r="D54" i="1" s="1"/>
  <c r="C42" i="1"/>
  <c r="C43" i="1" s="1"/>
  <c r="E44" i="1"/>
  <c r="C16" i="1"/>
  <c r="C34" i="1" s="1"/>
  <c r="C38" i="1"/>
  <c r="C33" i="1"/>
  <c r="C47" i="1" l="1"/>
  <c r="C39" i="1"/>
  <c r="C37" i="1"/>
  <c r="C36" i="1"/>
  <c r="C35" i="1"/>
  <c r="D55" i="1" l="1"/>
  <c r="D56" i="1"/>
</calcChain>
</file>

<file path=xl/sharedStrings.xml><?xml version="1.0" encoding="utf-8"?>
<sst xmlns="http://schemas.openxmlformats.org/spreadsheetml/2006/main" count="80" uniqueCount="75">
  <si>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</si>
  <si>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</si>
  <si>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</si>
  <si>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</si>
  <si>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</si>
  <si>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</si>
  <si>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</si>
  <si>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</si>
  <si>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</si>
  <si>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</si>
  <si>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</si>
  <si>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</si>
  <si>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</si>
  <si>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</si>
  <si>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</si>
  <si>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</si>
  <si>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</si>
  <si>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</si>
  <si>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</si>
  <si>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</si>
  <si>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</si>
  <si>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</si>
  <si>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</si>
  <si>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</si>
  <si>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</si>
  <si>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</si>
  <si>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</si>
  <si>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</si>
  <si>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</si>
  <si>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</si>
  <si>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</si>
  <si>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</si>
  <si>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</si>
  <si>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</si>
  <si>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</si>
  <si>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</si>
  <si>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</si>
  <si>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</si>
  <si>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</si>
  <si>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</si>
  <si>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</si>
  <si>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</si>
  <si>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</si>
  <si>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</si>
  <si>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</si>
  <si>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</si>
  <si>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</si>
  <si>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</si>
  <si>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</si>
  <si>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</si>
  <si>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</si>
  <si>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</si>
  <si>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</si>
  <si>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</si>
  <si>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</si>
  <si>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</si>
  <si>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</si>
  <si>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</si>
  <si>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</si>
  <si>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</si>
  <si>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</si>
  <si>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</si>
  <si>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</si>
  <si>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</si>
  <si>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</si>
  <si>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</si>
  <si>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</si>
  <si>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</si>
  <si>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</si>
  <si>
    <t>fy D10</t>
  </si>
  <si>
    <t>fy D6</t>
  </si>
  <si>
    <t>A D10</t>
  </si>
  <si>
    <t>A D6</t>
  </si>
  <si>
    <t>Force</t>
  </si>
  <si>
    <t>Force*sin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</si>
</sst>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U56"/>
  <sheetViews>
    <sheetView tabSelected="1" workbookViewId="0">
      <selection activeCell="U11" sqref="U11"/>
    </sheetView>
  </sheetViews>
  <sheetFormatPr defaultRowHeight="15" x14ac:dyDescent="0.25"/>
  <cols>
    <col min="1" max="1" width="2.85546875" customWidth="1"/>
  </cols>
  <sheetData>
    <row r="1" spans="2:21" x14ac:dyDescent="0.25">
      <c r="B1" s="1" t="s">
        <v>0</v>
      </c>
    </row>
    <row r="4" spans="2:21" ht="18" x14ac:dyDescent="0.35">
      <c r="B4" s="2" t="s">
        <v>1</v>
      </c>
      <c r="C4" s="3">
        <v>20</v>
      </c>
    </row>
    <row r="6" spans="2:21" x14ac:dyDescent="0.25">
      <c r="B6" s="4" t="s">
        <v>2</v>
      </c>
    </row>
    <row r="7" spans="2:21" ht="18" x14ac:dyDescent="0.35">
      <c r="B7" s="2" t="s">
        <v>3</v>
      </c>
      <c r="C7" s="3">
        <v>4.5999999999999996</v>
      </c>
    </row>
    <row r="8" spans="2:21" ht="18" x14ac:dyDescent="0.35">
      <c r="B8" s="2" t="s">
        <v>4</v>
      </c>
      <c r="C8" s="3">
        <v>50</v>
      </c>
    </row>
    <row r="9" spans="2:21" ht="18" x14ac:dyDescent="0.35">
      <c r="B9" s="2" t="s">
        <v>5</v>
      </c>
      <c r="C9" s="2">
        <f>33000*(0.14+C7/1000)^1.5*SQRT(C7)</f>
        <v>3891.753235578843</v>
      </c>
    </row>
    <row r="10" spans="2:21" ht="18" x14ac:dyDescent="0.35">
      <c r="B10" s="2" t="s">
        <v>6</v>
      </c>
      <c r="C10" s="2">
        <f>C9/(2*1.2)</f>
        <v>1621.5638481578512</v>
      </c>
    </row>
    <row r="11" spans="2:21" x14ac:dyDescent="0.25">
      <c r="B11" s="5" t="s">
        <v>7</v>
      </c>
      <c r="C11" s="5">
        <f>29000/C9</f>
        <v>7.4516543687505052</v>
      </c>
      <c r="H11" t="s">
        <v>69</v>
      </c>
      <c r="I11">
        <v>44891</v>
      </c>
      <c r="N11" t="s">
        <v>71</v>
      </c>
      <c r="O11">
        <v>0.221</v>
      </c>
      <c r="P11" t="s">
        <v>69</v>
      </c>
      <c r="Q11">
        <v>45.64</v>
      </c>
      <c r="R11" t="s">
        <v>73</v>
      </c>
      <c r="S11">
        <f>O11*Q11+O12*Q12</f>
        <v>15.00506</v>
      </c>
      <c r="T11" t="s">
        <v>74</v>
      </c>
      <c r="U11">
        <f>2*SIN(C23*PI()/180)*S11</f>
        <v>15.005059999999999</v>
      </c>
    </row>
    <row r="12" spans="2:21" x14ac:dyDescent="0.25">
      <c r="B12" s="4" t="s">
        <v>8</v>
      </c>
      <c r="H12" t="s">
        <v>70</v>
      </c>
      <c r="I12">
        <v>21915</v>
      </c>
      <c r="N12" t="s">
        <v>72</v>
      </c>
      <c r="O12">
        <v>9.8000000000000004E-2</v>
      </c>
      <c r="P12" t="s">
        <v>70</v>
      </c>
      <c r="Q12">
        <v>50.19</v>
      </c>
    </row>
    <row r="13" spans="2:21" x14ac:dyDescent="0.25">
      <c r="B13" s="2" t="s">
        <v>9</v>
      </c>
      <c r="C13" s="3">
        <v>12</v>
      </c>
      <c r="D13" s="6" t="s">
        <v>10</v>
      </c>
      <c r="I13">
        <f>SUM(I11:I12)</f>
        <v>66806</v>
      </c>
    </row>
    <row r="14" spans="2:21" x14ac:dyDescent="0.25">
      <c r="B14" s="2" t="s">
        <v>11</v>
      </c>
      <c r="C14" s="3">
        <v>15</v>
      </c>
      <c r="D14" s="6" t="s">
        <v>12</v>
      </c>
      <c r="I14">
        <f>2*SIN(C23*PI()/180)*I13</f>
        <v>66805.999999999985</v>
      </c>
      <c r="J14">
        <f>I14/(C18*25.4*25.4*SQRT(30.01))</f>
        <v>0.52506435634928161</v>
      </c>
    </row>
    <row r="15" spans="2:21" ht="18" x14ac:dyDescent="0.35">
      <c r="B15" s="2" t="s">
        <v>13</v>
      </c>
      <c r="C15" s="3">
        <v>3</v>
      </c>
      <c r="D15" s="6" t="s">
        <v>14</v>
      </c>
      <c r="I15">
        <f>I14*0.2248/1000</f>
        <v>15.017988799999998</v>
      </c>
      <c r="K15">
        <f>I15/(C18*SQRT(C7*1000))*1000</f>
        <v>6.1507823505120438</v>
      </c>
    </row>
    <row r="16" spans="2:21" x14ac:dyDescent="0.25">
      <c r="B16" s="7" t="s">
        <v>15</v>
      </c>
      <c r="C16" s="5">
        <f>1+2.88/C17^2</f>
        <v>2.8431999999999999</v>
      </c>
      <c r="D16" s="6" t="s">
        <v>16</v>
      </c>
    </row>
    <row r="17" spans="2:4" x14ac:dyDescent="0.25">
      <c r="B17" s="2" t="s">
        <v>17</v>
      </c>
      <c r="C17" s="5">
        <f>C14/C13</f>
        <v>1.25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36</v>
      </c>
      <c r="D18" s="6" t="s">
        <v>20</v>
      </c>
    </row>
    <row r="19" spans="2:4" x14ac:dyDescent="0.25">
      <c r="B19" s="2" t="s">
        <v>21</v>
      </c>
      <c r="C19" s="5">
        <f>10*SQRT(C7*1000)*C18/1000</f>
        <v>24.416387939250971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30</v>
      </c>
      <c r="D23" s="6" t="s">
        <v>26</v>
      </c>
    </row>
    <row r="24" spans="2:4" x14ac:dyDescent="0.25">
      <c r="B24" s="7" t="s">
        <v>27</v>
      </c>
      <c r="C24" s="9"/>
      <c r="D24" s="6"/>
    </row>
    <row r="25" spans="2:4" ht="18" x14ac:dyDescent="0.35">
      <c r="B25" s="10" t="s">
        <v>28</v>
      </c>
      <c r="C25" s="11">
        <v>0.31900000000000001</v>
      </c>
      <c r="D25" s="6" t="s">
        <v>29</v>
      </c>
    </row>
    <row r="26" spans="2:4" ht="18" x14ac:dyDescent="0.35">
      <c r="B26" s="12" t="s">
        <v>30</v>
      </c>
      <c r="C26" s="13">
        <f>C25*2/(C13*C15)</f>
        <v>1.7722222222222223E-2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22.116293423234566</v>
      </c>
      <c r="D27" s="6"/>
    </row>
    <row r="28" spans="2:4" ht="18" x14ac:dyDescent="0.35">
      <c r="B28" s="2" t="s">
        <v>33</v>
      </c>
      <c r="C28" s="5">
        <f>C14/COS(RADIANS(C23))</f>
        <v>17.320508075688771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15.95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18.714336243850564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15.889269304056617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318.04494278848915</v>
      </c>
      <c r="D35" s="6"/>
    </row>
    <row r="36" spans="2:6" ht="18" x14ac:dyDescent="0.35">
      <c r="B36" s="10" t="s">
        <v>43</v>
      </c>
      <c r="C36" s="5">
        <f>C33+(29000/C9-1)*C26*C15*C13/2</f>
        <v>20.772413987481976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407.06295632309752</v>
      </c>
      <c r="D37" s="6" t="s">
        <v>45</v>
      </c>
    </row>
    <row r="38" spans="2:6" x14ac:dyDescent="0.25">
      <c r="B38" s="12" t="s">
        <v>46</v>
      </c>
      <c r="C38" s="5">
        <f>1+2.88/C17^2</f>
        <v>2.8431999999999999</v>
      </c>
    </row>
    <row r="39" spans="2:6" x14ac:dyDescent="0.25">
      <c r="B39" s="12" t="s">
        <v>47</v>
      </c>
      <c r="C39" s="15">
        <f>C33/(C13*C15)</f>
        <v>0.51984267344029345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0.72168783648703216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0.295747012178599</v>
      </c>
    </row>
    <row r="43" spans="2:6" ht="18" x14ac:dyDescent="0.35">
      <c r="B43" s="12" t="s">
        <v>51</v>
      </c>
      <c r="C43" s="5">
        <f>1-C42*(1+C41)/3</f>
        <v>0.83027198881824127</v>
      </c>
    </row>
    <row r="44" spans="2:6" x14ac:dyDescent="0.25">
      <c r="B44" s="12" t="s">
        <v>53</v>
      </c>
      <c r="C44" s="5">
        <f>0.05*C17</f>
        <v>6.25E-2</v>
      </c>
      <c r="D44" s="12" t="s">
        <v>52</v>
      </c>
      <c r="E44" s="5">
        <f>1/(C14^3/(12*C9*C44*C15*C13^3/12)+C14/(C10*5*C18/6))</f>
        <v>335.01462573132085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335.01462573132085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50.2</v>
      </c>
    </row>
    <row r="50" spans="2:4" ht="18" x14ac:dyDescent="0.35">
      <c r="B50" s="2" t="s">
        <v>59</v>
      </c>
      <c r="C50" s="3">
        <f>I15</f>
        <v>15.017988799999998</v>
      </c>
      <c r="D50" s="6" t="s">
        <v>60</v>
      </c>
    </row>
    <row r="51" spans="2:4" x14ac:dyDescent="0.25">
      <c r="B51" s="2" t="s">
        <v>61</v>
      </c>
      <c r="C51" s="3">
        <v>0.01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4.4827860178392062E-2</v>
      </c>
      <c r="D54" s="3">
        <f>C54*C47</f>
        <v>15.017988799999998</v>
      </c>
    </row>
    <row r="55" spans="2:4" x14ac:dyDescent="0.25">
      <c r="B55" s="2" t="s">
        <v>67</v>
      </c>
      <c r="C55" s="9">
        <f>0.08*C14</f>
        <v>1.2</v>
      </c>
      <c r="D55" s="9">
        <f>(C55-C54)*C51*C47+C50</f>
        <v>18.887984420775847</v>
      </c>
    </row>
    <row r="56" spans="2:4" x14ac:dyDescent="0.25">
      <c r="B56" s="2" t="s">
        <v>68</v>
      </c>
      <c r="C56" s="9">
        <f>0.1*C14</f>
        <v>1.5</v>
      </c>
      <c r="D56" s="9">
        <f>0.8*D54</f>
        <v>12.01439104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2024-09-02T01:56:39Z</dcterms:modified>
</cp:coreProperties>
</file>